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morly\OneDrive\デスクトップ\タイヤ温度ログ\RejsaRubberTrac\pcb\"/>
    </mc:Choice>
  </mc:AlternateContent>
  <xr:revisionPtr revIDLastSave="0" documentId="13_ncr:1_{F2CF0883-7704-456B-A18B-70A58452AAFE}" xr6:coauthVersionLast="47" xr6:coauthVersionMax="47" xr10:uidLastSave="{00000000-0000-0000-0000-000000000000}"/>
  <bookViews>
    <workbookView xWindow="-110" yWindow="-110" windowWidth="38620" windowHeight="21100" activeTab="1" xr2:uid="{00000000-000D-0000-FFFF-FFFF00000000}"/>
  </bookViews>
  <sheets>
    <sheet name="MLX90621" sheetId="2" r:id="rId1"/>
    <sheet name="MLX90640" sheetId="3" r:id="rId2"/>
  </sheets>
  <definedNames>
    <definedName name="components" localSheetId="0">'MLX90621'!$A$2:$F$41</definedName>
    <definedName name="components" localSheetId="1">'MLX90640'!$C$4:$O$26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9" i="3" l="1"/>
  <c r="K29" i="3" s="1"/>
  <c r="J28" i="3"/>
  <c r="K28" i="3" s="1"/>
  <c r="J27" i="3"/>
  <c r="J24" i="3"/>
  <c r="K24" i="3" s="1"/>
  <c r="K19" i="3"/>
  <c r="J15" i="3"/>
  <c r="K15" i="3" s="1"/>
  <c r="K14" i="3"/>
  <c r="I12" i="3"/>
  <c r="K12" i="3" s="1"/>
  <c r="K11" i="3"/>
  <c r="K10" i="3"/>
  <c r="I7" i="3"/>
  <c r="K7" i="3" s="1"/>
  <c r="I6" i="3"/>
  <c r="I5" i="3"/>
  <c r="K2" i="3" l="1"/>
  <c r="L2"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omponents" type="6" refreshedVersion="5" background="1" saveData="1">
    <textPr codePage="65001" sourceFile="D:\Desktop\components.txt" decimal="," thousands=" ">
      <textFields count="4">
        <textField/>
        <textField/>
        <textField/>
        <textField/>
      </textFields>
    </textPr>
  </connection>
  <connection id="2" xr16:uid="{5C5A1992-D334-4DBA-8F19-C498353385C5}" name="components1" type="6" refreshedVersion="5" background="1" saveData="1">
    <textPr codePage="65001" sourceFile="D:\Desktop\components.txt" decimal="," thousands=" ">
      <textFields count="4">
        <textField/>
        <textField/>
        <textField/>
        <textField/>
      </textFields>
    </textPr>
  </connection>
</connections>
</file>

<file path=xl/sharedStrings.xml><?xml version="1.0" encoding="utf-8"?>
<sst xmlns="http://schemas.openxmlformats.org/spreadsheetml/2006/main" count="201" uniqueCount="134">
  <si>
    <t>Power switch</t>
  </si>
  <si>
    <t>rubber seal</t>
  </si>
  <si>
    <t>button top</t>
  </si>
  <si>
    <t>12V power</t>
  </si>
  <si>
    <t>Distance sensor</t>
  </si>
  <si>
    <t>Li-ion battery holder AA</t>
  </si>
  <si>
    <t>Li-ion battery holder AAA</t>
  </si>
  <si>
    <t>J4</t>
  </si>
  <si>
    <t>1x12 pin header, 2,54 mm</t>
  </si>
  <si>
    <t>J5</t>
  </si>
  <si>
    <t>1x16 pin header, 2,54 mm</t>
  </si>
  <si>
    <t>J6</t>
  </si>
  <si>
    <t>2x4  pin header, 2,54 mm</t>
  </si>
  <si>
    <t>S1</t>
  </si>
  <si>
    <t>U1</t>
  </si>
  <si>
    <t>MC7805BDTRKG</t>
  </si>
  <si>
    <t>D1</t>
  </si>
  <si>
    <t>D2</t>
  </si>
  <si>
    <t>C1</t>
  </si>
  <si>
    <t>C2</t>
  </si>
  <si>
    <t>J1</t>
  </si>
  <si>
    <t>1x6  pin header, 2,54 mm</t>
  </si>
  <si>
    <t>C4</t>
  </si>
  <si>
    <t>D3</t>
  </si>
  <si>
    <t>U2</t>
  </si>
  <si>
    <t>U3</t>
  </si>
  <si>
    <t>J2</t>
  </si>
  <si>
    <t>1x2  pin header, 2,54 mm</t>
  </si>
  <si>
    <t>J3</t>
  </si>
  <si>
    <t>1x2  pin header, 1,27 mm</t>
  </si>
  <si>
    <t>PN12SHNA03QE (switch)</t>
  </si>
  <si>
    <t>https://www.mouser.se/ProductDetail/485-3406</t>
  </si>
  <si>
    <t>https://www.mouser.se/ProductDetail/534-1075</t>
  </si>
  <si>
    <t>https://www.mouser.se/ProductDetail/534-1087</t>
  </si>
  <si>
    <t>https://www.mouser.se/ProductDetail/482-90621ESFBAB000SP</t>
  </si>
  <si>
    <t>https://www.mouser.se/ProductDetail/611-PN12SHNA03QE</t>
  </si>
  <si>
    <t>https://www.mouser.se/ProductDetail/511-STPS1L30A</t>
  </si>
  <si>
    <t>https://www.mouser.se/ProductDetail/512-S1B</t>
  </si>
  <si>
    <t>https://www.mouser.se/ProductDetail/710-885012106022</t>
  </si>
  <si>
    <t>https://www.mouser.se/ProductDetail/863-MC7805BDTRKG</t>
  </si>
  <si>
    <t>https://www.mouser.se/ProductDetail/806-SX1100-A</t>
  </si>
  <si>
    <t>on rear side</t>
  </si>
  <si>
    <t>Shunt jumpers</t>
  </si>
  <si>
    <t>BUY FOUR OF THESE!</t>
  </si>
  <si>
    <t>PCB marking</t>
  </si>
  <si>
    <t>Actually a surface mount version but it's pretty big so not hard to solder. Benefit is it's thin and fits between the boards.</t>
  </si>
  <si>
    <t>Always needed</t>
  </si>
  <si>
    <t>Adafruit Bluefruit nRF52 CPU/BLE board</t>
  </si>
  <si>
    <t>Only needed if you want to use a AA size Li-Ion rechargeable battery</t>
  </si>
  <si>
    <t>Only needed if you want to use a AAA size Li-Ion rechargeable battery</t>
  </si>
  <si>
    <t>AAA size Li-ion rechargeable battery</t>
  </si>
  <si>
    <t>AA size Li-ion rechargeable battery</t>
  </si>
  <si>
    <t>https://www.mouser.se/ProductDetail/750-1N4007-G</t>
  </si>
  <si>
    <t>1N4007</t>
  </si>
  <si>
    <t>Shottky</t>
  </si>
  <si>
    <t>https://www.mouser.se/ProductDetail/583-1S40-T</t>
  </si>
  <si>
    <t>1uF</t>
  </si>
  <si>
    <t>https://www.mouser.se/ProductDetail/810-FG28X7R1E105KRT6</t>
  </si>
  <si>
    <t>Different battery choices</t>
  </si>
  <si>
    <t>https://www.ebay.com/sch/i.html?_nkw=vl53l0xv2&amp;_sop=15
or
https://www.aliexpress.com/w/wholesale-vl53l0xv2.html?SortType=price_asc&amp;SearchText=vl53l0xv2</t>
  </si>
  <si>
    <t>VL53L0XV2 / VL53L0CX</t>
  </si>
  <si>
    <t>https://www.ebay.com/sch/i.html?_nkw=3.7V+lipo+battery+JST-PH+2.0&amp;_sop=15</t>
  </si>
  <si>
    <t>https://www.ebay.com/sch/i.html?_nkw=li-ion+3.7V+aaa+10440&amp;_sop=15</t>
  </si>
  <si>
    <t>https://www.ebay.com/sch/i.html?_nkw=li-ion+3.7V+aa+14500&amp;_sop=15</t>
  </si>
  <si>
    <t>Flat Li-Po rechargeable battery (JSP-PH 2.0 mm connector)</t>
  </si>
  <si>
    <t>Surface mount alternatives</t>
  </si>
  <si>
    <t>https://www.mouser.se/ProductDetail/611-G003A</t>
  </si>
  <si>
    <t>https://www.mouser.se/ProductDetail/200-TSW11605TS</t>
  </si>
  <si>
    <t>https://www.mouser.se/ProductDetail/200-TSW11205TS</t>
  </si>
  <si>
    <t>https://www.mouser.se/ProductDetail/200-TSW10407GD</t>
  </si>
  <si>
    <t>https://www.mouser.se/ProductDetail/200-FTS10201FS</t>
  </si>
  <si>
    <t>https://www.mouser.se/ProductDetail/200-TSW10607TS</t>
  </si>
  <si>
    <t>https://www.mouser.se/ProductDetail/200-TSW10207GS</t>
  </si>
  <si>
    <t xml:space="preserve">For the sandwich mounting of temperature and distance sensor daugther boards. </t>
  </si>
  <si>
    <t>If you run your sensors without battery and use the car's 12V which is switched off itself you really don't need a power switch. But can still be useful to reset the device of course</t>
  </si>
  <si>
    <t>Using AA or AAA battery size Li-Ions (not actual 1,5V batteries!!) instead of the above flat Li-Po battery one takes a lot of space on the rear side of the board</t>
  </si>
  <si>
    <t>The size "503035" fits in the 3D-printed housing but is a bit big capacity and size wise lasting 24 hours straight (500mAh). So you can choose smaller if you want.</t>
  </si>
  <si>
    <t>Only needed if you have a battery with a 2.54 mm connector plug instead if the already present JST-PH 2.0 mm one.</t>
  </si>
  <si>
    <t>Only needed if you have a battery with a 1.27 mm connector plug instead if the already present JST-PH 2.0 mm one.</t>
  </si>
  <si>
    <t>Changes</t>
  </si>
  <si>
    <t>1.1</t>
  </si>
  <si>
    <t xml:space="preserve">1.2 </t>
  </si>
  <si>
    <t>Added link to temperature sensors WITH daughter board</t>
  </si>
  <si>
    <r>
      <t xml:space="preserve">This is the 60 degree field of view version. There is also a 120 degree version available.
NOTE: The temperature sensor from Mouser in the link is </t>
    </r>
    <r>
      <rPr>
        <b/>
        <sz val="11"/>
        <color theme="1"/>
        <rFont val="ＭＳ Ｐゴシック"/>
        <family val="2"/>
        <scheme val="minor"/>
      </rPr>
      <t>without</t>
    </r>
    <r>
      <rPr>
        <sz val="11"/>
        <color theme="1"/>
        <rFont val="ＭＳ Ｐゴシック"/>
        <family val="2"/>
        <scheme val="minor"/>
      </rPr>
      <t xml:space="preserve"> daughter board. You can also buy it </t>
    </r>
    <r>
      <rPr>
        <b/>
        <sz val="11"/>
        <color theme="1"/>
        <rFont val="ＭＳ Ｐゴシック"/>
        <family val="2"/>
        <scheme val="minor"/>
      </rPr>
      <t>with</t>
    </r>
    <r>
      <rPr>
        <sz val="11"/>
        <color theme="1"/>
        <rFont val="ＭＳ Ｐゴシック"/>
        <family val="2"/>
        <scheme val="minor"/>
      </rPr>
      <t xml:space="preserve"> a daughter board from for example:
https://www.aliexpress.com/w/wholesale-MLX90621.html?SortType=price_asc&amp;SearchText=MLX90621
https://eckstein-shop.de/GY-906LLC-BAB-IR-Array-Temperature-Sensor-Module</t>
    </r>
  </si>
  <si>
    <t>https://www.mouser.se/ProductDetail/608-1211-5</t>
  </si>
  <si>
    <t>1.4</t>
  </si>
  <si>
    <t>Added warning about distance sensor board with wrong board pinout</t>
  </si>
  <si>
    <t>Beware: There is now a version of this board that looks the same but that has moved around what is connected to what pin. The order of pins (look carefully at the product picture on the page where you order) must be:
- VIN
- GND
- SCL
- SDA
- GPIO
- XSHUT</t>
  </si>
  <si>
    <t>1.3</t>
  </si>
  <si>
    <t>Corrected Mouser part number for switch rubber seal</t>
  </si>
  <si>
    <t>Published on Github</t>
  </si>
  <si>
    <t>１個当たり</t>
    <rPh sb="1" eb="2">
      <t>コ</t>
    </rPh>
    <rPh sb="2" eb="3">
      <t>ア</t>
    </rPh>
    <phoneticPr fontId="21"/>
  </si>
  <si>
    <t>４個</t>
    <rPh sb="1" eb="2">
      <t>コ</t>
    </rPh>
    <phoneticPr fontId="21"/>
  </si>
  <si>
    <t>数量</t>
    <rPh sb="0" eb="2">
      <t>スウリョウ</t>
    </rPh>
    <phoneticPr fontId="21"/>
  </si>
  <si>
    <t>金額</t>
    <rPh sb="0" eb="2">
      <t>キンガク</t>
    </rPh>
    <phoneticPr fontId="21"/>
  </si>
  <si>
    <t>送料</t>
    <rPh sb="0" eb="2">
      <t>ソウリョウ</t>
    </rPh>
    <phoneticPr fontId="21"/>
  </si>
  <si>
    <t>小計</t>
    <rPh sb="0" eb="2">
      <t>ショウケイ</t>
    </rPh>
    <phoneticPr fontId="21"/>
  </si>
  <si>
    <t>納期(日)</t>
    <rPh sb="0" eb="2">
      <t>ノウキ</t>
    </rPh>
    <rPh sb="2" eb="5">
      <t>ニチ</t>
    </rPh>
    <phoneticPr fontId="21"/>
  </si>
  <si>
    <t>Adafruit Bluefruit nRF52 CPU/BLE board 3406</t>
    <phoneticPr fontId="21"/>
  </si>
  <si>
    <t>MOUSER</t>
    <phoneticPr fontId="21"/>
  </si>
  <si>
    <t>nRF52832</t>
    <phoneticPr fontId="21"/>
  </si>
  <si>
    <t>↑</t>
    <phoneticPr fontId="21"/>
  </si>
  <si>
    <t>https://www.digikey.jp/ja/products/detail/adafruit-industries-llc/3406/7034992?s=N4IgTCBcDaIIIBMCGAzATgVwJYBcAEAQgDYYCm62%2BAdgEoBiArGHgMwAsADAGwgC6AvkA</t>
    <phoneticPr fontId="21"/>
  </si>
  <si>
    <t>digikey</t>
    <phoneticPr fontId="21"/>
  </si>
  <si>
    <t>Adafruit ESP32-S3 FEATHER 8MB/0MB PSRAM 5323</t>
    <phoneticPr fontId="21"/>
  </si>
  <si>
    <t>https://www.digikey.jp/ja/products/detail/adafruit-industries-llc/5323/16376065?_gl=1*gunwoh*_up*MQ..*_gs*MQ..&amp;gclid=CjwKCAjwuePGBhBZEiwAIGCVSwsYnQE6LlCYl4kYyWmUhtdfKg6PYKqDMsFwTPONSrv-ZT9YwsNdCBoCihMQAvD_BwE&amp;gclsrc=aw.ds&amp;gbraid=0AAAAADrbLlgNJWyVMa1ywMmr6j4JYsnei</t>
    <phoneticPr fontId="21"/>
  </si>
  <si>
    <t>4d</t>
    <phoneticPr fontId="21"/>
  </si>
  <si>
    <t>ESP32-S3</t>
    <phoneticPr fontId="21"/>
  </si>
  <si>
    <t>1x12 pin header, 2,54 mm</t>
    <phoneticPr fontId="21"/>
  </si>
  <si>
    <t>https://www.mouser.se/ProductDetail/200-TSW11205TS</t>
    <phoneticPr fontId="21"/>
  </si>
  <si>
    <t>feather基板に付属</t>
    <rPh sb="7" eb="9">
      <t>キバン</t>
    </rPh>
    <rPh sb="10" eb="12">
      <t>フゾク</t>
    </rPh>
    <phoneticPr fontId="21"/>
  </si>
  <si>
    <t>https://www.mouser.se/ProductDetail/200-TSW10407GD</t>
    <phoneticPr fontId="21"/>
  </si>
  <si>
    <t>Shunt jumpers</t>
    <phoneticPr fontId="21"/>
  </si>
  <si>
    <t>FL4+RL3+FR2+RR1＝10</t>
    <phoneticPr fontId="21"/>
  </si>
  <si>
    <r>
      <t>MLX90640</t>
    </r>
    <r>
      <rPr>
        <sz val="11"/>
        <color rgb="FFFF0000"/>
        <rFont val="ＭＳ Ｐゴシック"/>
        <family val="2"/>
        <charset val="128"/>
      </rPr>
      <t>を使うなら</t>
    </r>
    <r>
      <rPr>
        <sz val="11"/>
        <color rgb="FFFF0000"/>
        <rFont val="Segoe UI"/>
        <family val="2"/>
      </rPr>
      <t>D3</t>
    </r>
    <r>
      <rPr>
        <sz val="11"/>
        <color rgb="FFFF0000"/>
        <rFont val="ＭＳ Ｐゴシック"/>
        <family val="2"/>
        <charset val="128"/>
      </rPr>
      <t>は</t>
    </r>
    <r>
      <rPr>
        <sz val="11"/>
        <color rgb="FFFF0000"/>
        <rFont val="ＭＳ ゴシック"/>
        <family val="3"/>
        <charset val="128"/>
      </rPr>
      <t>ジャンパーなので不要</t>
    </r>
    <rPh sb="13" eb="14">
      <t>ツカフヨウ</t>
    </rPh>
    <phoneticPr fontId="21"/>
  </si>
  <si>
    <t>MLX90640-ESF-BAA temp sensor</t>
    <phoneticPr fontId="21"/>
  </si>
  <si>
    <t>U2</t>
    <phoneticPr fontId="21"/>
  </si>
  <si>
    <t>https://ja.aliexpress.com/item/1005008180135795.html?spm=a2g0o.order_list.order_list_main.16.2f84585aAo1tKC&amp;gatewayAdapt=glo2jpn</t>
    <phoneticPr fontId="21"/>
  </si>
  <si>
    <t>アリエク</t>
    <phoneticPr fontId="21"/>
  </si>
  <si>
    <t>2W</t>
    <phoneticPr fontId="21"/>
  </si>
  <si>
    <t>110 degree、MOUSERは5731円</t>
    <rPh sb="22" eb="23">
      <t>エン</t>
    </rPh>
    <phoneticPr fontId="21"/>
  </si>
  <si>
    <t>https://ja.aliexpress.com/item/1005004176046297.html?spm=a2g0o.order_list.order_list_main.28.2f84585aAo1tKC&amp;gatewayAdapt=glo2jpn</t>
    <phoneticPr fontId="21"/>
  </si>
  <si>
    <t>上が品切れなら</t>
    <rPh sb="0" eb="1">
      <t>ウエ</t>
    </rPh>
    <rPh sb="2" eb="4">
      <t>シナギ</t>
    </rPh>
    <phoneticPr fontId="21"/>
  </si>
  <si>
    <t>https://ja.aliexpress.com/item/1005006980614596.html?spm=a2g0o.order_list.order_list_main.33.7654585aeu9k2v&amp;gatewayAdapt=glo2jpn</t>
    <phoneticPr fontId="21"/>
  </si>
  <si>
    <t>LIPO</t>
    <phoneticPr fontId="21"/>
  </si>
  <si>
    <t>https://ja.aliexpress.com/item/1005006421563695.html?spm=a2g0o.order_list.order_list_main.5.7654585aeu9k2v&amp;gatewayAdapt=glo2jpn</t>
    <phoneticPr fontId="21"/>
  </si>
  <si>
    <t>size "503035"　PHコネクタ ※極性が逆なのでコネクタ差し替え</t>
    <rPh sb="22" eb="24">
      <t>キョクセイ</t>
    </rPh>
    <rPh sb="25" eb="26">
      <t>ギャク</t>
    </rPh>
    <rPh sb="33" eb="34">
      <t>サ</t>
    </rPh>
    <rPh sb="35" eb="36">
      <t>カ</t>
    </rPh>
    <phoneticPr fontId="21"/>
  </si>
  <si>
    <t>https://ja.aliexpress.com/item/32814862683.html?spm=a2g0o.order_list.order_list_main.4.5854585aYz0aIG&amp;gatewayAdapt=glo2jpn</t>
    <phoneticPr fontId="21"/>
  </si>
  <si>
    <t>size "503035"　PHコネクタ</t>
    <phoneticPr fontId="21"/>
  </si>
  <si>
    <t>基板</t>
    <rPh sb="0" eb="2">
      <t>キバン</t>
    </rPh>
    <phoneticPr fontId="21"/>
  </si>
  <si>
    <t>JLCPCB</t>
    <phoneticPr fontId="21"/>
  </si>
  <si>
    <t>１枚はセンサマウント用に切り抜き</t>
    <rPh sb="1" eb="2">
      <t>マイ</t>
    </rPh>
    <rPh sb="10" eb="11">
      <t>ヨウ</t>
    </rPh>
    <rPh sb="12" eb="13">
      <t>キ</t>
    </rPh>
    <rPh sb="14" eb="15">
      <t>ヌ</t>
    </rPh>
    <phoneticPr fontId="21"/>
  </si>
  <si>
    <t>MLX90621-ESF-BAB temp sensor</t>
    <phoneticPr fontId="21"/>
  </si>
  <si>
    <t>not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</si>
</sst>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ＭＳ Ｐゴシック"/>
      <family val="2"/>
      <scheme val="minor"/>
    </font>
    <font>
      <sz val="11"/>
      <color theme="1"/>
      <name val="ＭＳ Ｐゴシック"/>
      <family val="2"/>
      <scheme val="minor"/>
    </font>
    <font>
      <sz val="18"/>
      <color theme="3"/>
      <name val="ＭＳ Ｐゴシック"/>
      <family val="2"/>
      <scheme val="major"/>
    </font>
    <font>
      <b/>
      <sz val="15"/>
      <color theme="3"/>
      <name val="ＭＳ Ｐゴシック"/>
      <family val="2"/>
      <scheme val="minor"/>
    </font>
    <font>
      <b/>
      <sz val="13"/>
      <color theme="3"/>
      <name val="ＭＳ Ｐゴシック"/>
      <family val="2"/>
      <scheme val="minor"/>
    </font>
    <font>
      <b/>
      <sz val="11"/>
      <color theme="3"/>
      <name val="ＭＳ Ｐゴシック"/>
      <family val="2"/>
      <scheme val="minor"/>
    </font>
    <font>
      <sz val="11"/>
      <color rgb="FF006100"/>
      <name val="ＭＳ Ｐゴシック"/>
      <family val="2"/>
      <scheme val="minor"/>
    </font>
    <font>
      <sz val="11"/>
      <color rgb="FF9C0006"/>
      <name val="ＭＳ Ｐゴシック"/>
      <family val="2"/>
      <scheme val="minor"/>
    </font>
    <font>
      <sz val="11"/>
      <color rgb="FF9C6500"/>
      <name val="ＭＳ Ｐゴシック"/>
      <family val="2"/>
      <scheme val="minor"/>
    </font>
    <font>
      <sz val="11"/>
      <color rgb="FF3F3F76"/>
      <name val="ＭＳ Ｐゴシック"/>
      <family val="2"/>
      <scheme val="minor"/>
    </font>
    <font>
      <b/>
      <sz val="11"/>
      <color rgb="FF3F3F3F"/>
      <name val="ＭＳ Ｐゴシック"/>
      <family val="2"/>
      <scheme val="minor"/>
    </font>
    <font>
      <b/>
      <sz val="11"/>
      <color rgb="FFFA7D00"/>
      <name val="ＭＳ Ｐゴシック"/>
      <family val="2"/>
      <scheme val="minor"/>
    </font>
    <font>
      <sz val="11"/>
      <color rgb="FFFA7D00"/>
      <name val="ＭＳ Ｐゴシック"/>
      <family val="2"/>
      <scheme val="minor"/>
    </font>
    <font>
      <b/>
      <sz val="11"/>
      <color theme="0"/>
      <name val="ＭＳ Ｐゴシック"/>
      <family val="2"/>
      <scheme val="minor"/>
    </font>
    <font>
      <sz val="11"/>
      <color rgb="FFFF0000"/>
      <name val="ＭＳ Ｐゴシック"/>
      <family val="2"/>
      <scheme val="minor"/>
    </font>
    <font>
      <i/>
      <sz val="11"/>
      <color rgb="FF7F7F7F"/>
      <name val="ＭＳ Ｐゴシック"/>
      <family val="2"/>
      <scheme val="minor"/>
    </font>
    <font>
      <b/>
      <sz val="11"/>
      <color theme="1"/>
      <name val="ＭＳ Ｐゴシック"/>
      <family val="2"/>
      <scheme val="minor"/>
    </font>
    <font>
      <sz val="11"/>
      <color theme="0"/>
      <name val="ＭＳ Ｐゴシック"/>
      <family val="2"/>
      <scheme val="minor"/>
    </font>
    <font>
      <u/>
      <sz val="11"/>
      <color theme="10"/>
      <name val="ＭＳ Ｐゴシック"/>
      <family val="2"/>
      <scheme val="minor"/>
    </font>
    <font>
      <b/>
      <sz val="14"/>
      <color theme="1"/>
      <name val="ＭＳ Ｐゴシック"/>
      <family val="2"/>
      <scheme val="minor"/>
    </font>
    <font>
      <b/>
      <i/>
      <sz val="11"/>
      <color theme="1"/>
      <name val="ＭＳ Ｐゴシック"/>
      <family val="2"/>
      <scheme val="minor"/>
    </font>
    <font>
      <sz val="6"/>
      <name val="ＭＳ Ｐゴシック"/>
      <family val="3"/>
      <charset val="128"/>
      <scheme val="minor"/>
    </font>
    <font>
      <b/>
      <sz val="20"/>
      <color theme="1"/>
      <name val="ＭＳ Ｐゴシック"/>
      <family val="3"/>
      <charset val="128"/>
      <scheme val="minor"/>
    </font>
    <font>
      <b/>
      <sz val="16"/>
      <color theme="1"/>
      <name val="ＭＳ Ｐゴシック"/>
      <family val="3"/>
      <charset val="128"/>
      <scheme val="minor"/>
    </font>
    <font>
      <sz val="11"/>
      <name val="ＭＳ Ｐゴシック"/>
      <family val="2"/>
      <scheme val="minor"/>
    </font>
    <font>
      <b/>
      <sz val="16"/>
      <name val="ＭＳ Ｐゴシック"/>
      <family val="3"/>
      <charset val="128"/>
      <scheme val="minor"/>
    </font>
    <font>
      <b/>
      <u/>
      <sz val="16"/>
      <color theme="10"/>
      <name val="ＭＳ Ｐゴシック"/>
      <family val="3"/>
      <charset val="128"/>
      <scheme val="minor"/>
    </font>
    <font>
      <sz val="11"/>
      <color rgb="FFFF0000"/>
      <name val="Segoe UI"/>
      <family val="2"/>
    </font>
    <font>
      <sz val="11"/>
      <color rgb="FFFF0000"/>
      <name val="ＭＳ Ｐゴシック"/>
      <family val="2"/>
      <charset val="128"/>
    </font>
    <font>
      <sz val="11"/>
      <color rgb="FFFF0000"/>
      <name val="ＭＳ ゴシック"/>
      <family val="3"/>
      <charset val="128"/>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0" tint="-0.249977111117893"/>
        <bgColor indexed="64"/>
      </patternFill>
    </fill>
    <fill>
      <patternFill patternType="solid">
        <fgColor theme="5"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cellStyleXfs>
  <cellXfs count="29">
    <xf numFmtId="0" fontId="0" fillId="0" borderId="0" xfId="0"/>
    <xf numFmtId="0" fontId="19" fillId="0" borderId="0" xfId="0" applyFont="1" applyAlignment="1">
      <alignment vertical="top"/>
    </xf>
    <xf numFmtId="0" fontId="0" fillId="0" borderId="0" xfId="0" applyAlignment="1">
      <alignment vertical="top"/>
    </xf>
    <xf numFmtId="0" fontId="0" fillId="0" borderId="0" xfId="0" applyAlignment="1">
      <alignment horizontal="center" vertical="top"/>
    </xf>
    <xf numFmtId="0" fontId="18" fillId="0" borderId="0" xfId="42" applyAlignment="1">
      <alignment vertical="top"/>
    </xf>
    <xf numFmtId="0" fontId="0" fillId="0" borderId="0" xfId="0" applyAlignment="1">
      <alignment vertical="top" wrapText="1"/>
    </xf>
    <xf numFmtId="0" fontId="18" fillId="0" borderId="0" xfId="42" applyFill="1" applyAlignment="1">
      <alignment vertical="top"/>
    </xf>
    <xf numFmtId="0" fontId="20" fillId="0" borderId="0" xfId="0" applyFont="1" applyAlignment="1">
      <alignment vertical="top"/>
    </xf>
    <xf numFmtId="0" fontId="22" fillId="0" borderId="10" xfId="0" applyFont="1" applyBorder="1" applyAlignment="1">
      <alignment vertical="top"/>
    </xf>
    <xf numFmtId="0" fontId="22" fillId="0" borderId="0" xfId="0" applyFont="1" applyAlignment="1">
      <alignment vertical="top"/>
    </xf>
    <xf numFmtId="1" fontId="22" fillId="0" borderId="11" xfId="0" applyNumberFormat="1" applyFont="1" applyBorder="1" applyAlignment="1">
      <alignment vertical="top"/>
    </xf>
    <xf numFmtId="1" fontId="22" fillId="0" borderId="0" xfId="0" applyNumberFormat="1" applyFont="1" applyAlignment="1">
      <alignment vertical="top"/>
    </xf>
    <xf numFmtId="0" fontId="23" fillId="0" borderId="11" xfId="0" applyFont="1" applyBorder="1" applyAlignment="1">
      <alignment vertical="top"/>
    </xf>
    <xf numFmtId="0" fontId="23" fillId="0" borderId="0" xfId="0" applyFont="1" applyAlignment="1">
      <alignment vertical="top"/>
    </xf>
    <xf numFmtId="0" fontId="0" fillId="33" borderId="0" xfId="0" applyFill="1" applyAlignment="1">
      <alignment vertical="top"/>
    </xf>
    <xf numFmtId="0" fontId="24" fillId="0" borderId="0" xfId="42" applyFont="1" applyFill="1" applyAlignment="1">
      <alignment vertical="top"/>
    </xf>
    <xf numFmtId="0" fontId="25" fillId="0" borderId="11" xfId="42" applyFont="1" applyFill="1" applyBorder="1" applyAlignment="1">
      <alignment vertical="top"/>
    </xf>
    <xf numFmtId="0" fontId="25" fillId="0" borderId="0" xfId="42" applyFont="1" applyFill="1" applyBorder="1" applyAlignment="1">
      <alignment vertical="top"/>
    </xf>
    <xf numFmtId="0" fontId="0" fillId="34" borderId="0" xfId="0" applyFill="1" applyAlignment="1">
      <alignment vertical="top"/>
    </xf>
    <xf numFmtId="0" fontId="0" fillId="34" borderId="0" xfId="0" applyFill="1" applyAlignment="1">
      <alignment horizontal="center" vertical="top"/>
    </xf>
    <xf numFmtId="0" fontId="18" fillId="34" borderId="0" xfId="42" applyFill="1" applyAlignment="1">
      <alignment vertical="top"/>
    </xf>
    <xf numFmtId="0" fontId="26" fillId="34" borderId="11" xfId="42" applyFont="1" applyFill="1" applyBorder="1" applyAlignment="1">
      <alignment vertical="top"/>
    </xf>
    <xf numFmtId="0" fontId="26" fillId="34" borderId="0" xfId="42" applyFont="1" applyFill="1" applyBorder="1" applyAlignment="1">
      <alignment vertical="top"/>
    </xf>
    <xf numFmtId="0" fontId="27" fillId="34" borderId="0" xfId="0" applyFont="1" applyFill="1"/>
    <xf numFmtId="0" fontId="24" fillId="34" borderId="0" xfId="42" applyFont="1" applyFill="1" applyAlignment="1">
      <alignment vertical="top"/>
    </xf>
    <xf numFmtId="0" fontId="25" fillId="34" borderId="11" xfId="42" applyFont="1" applyFill="1" applyBorder="1" applyAlignment="1">
      <alignment vertical="top"/>
    </xf>
    <xf numFmtId="0" fontId="25" fillId="34" borderId="0" xfId="42" applyFont="1" applyFill="1" applyBorder="1" applyAlignment="1">
      <alignment vertical="top"/>
    </xf>
    <xf numFmtId="0" fontId="0" fillId="35" borderId="0" xfId="0" applyFill="1" applyAlignment="1">
      <alignment vertical="top"/>
    </xf>
    <xf numFmtId="0" fontId="14" fillId="0" borderId="0" xfId="0" applyFont="1" applyAlignment="1">
      <alignment vertical="top" wrapText="1"/>
    </xf>
  </cellXfs>
  <cellStyles count="43">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ハイパーリンク" xfId="42" builtinId="8"/>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omponents"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components" connectionId="2" xr16:uid="{9A6E9AB0-1C9C-43AD-B9C0-6BA7DE85993F}"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mouser.se/ProductDetail/810-FG28X7R1E105KRT6" TargetMode="External"/><Relationship Id="rId13" Type="http://schemas.openxmlformats.org/officeDocument/2006/relationships/hyperlink" Target="https://www.mouser.se/ProductDetail/750-1N4007-G" TargetMode="External"/><Relationship Id="rId18" Type="http://schemas.openxmlformats.org/officeDocument/2006/relationships/hyperlink" Target="https://www.ebay.com/sch/i.html?_nkw=li-ion+3.7V+aaa+10440&amp;_sop=15" TargetMode="External"/><Relationship Id="rId26" Type="http://schemas.openxmlformats.org/officeDocument/2006/relationships/hyperlink" Target="https://www.mouser.se/ProductDetail/200-TSW10607TS" TargetMode="External"/><Relationship Id="rId3" Type="http://schemas.openxmlformats.org/officeDocument/2006/relationships/hyperlink" Target="https://www.ebay.com/sch/i.html?_nkw=li-ion+3.7V+aa+14500&amp;_sop=15" TargetMode="External"/><Relationship Id="rId21" Type="http://schemas.openxmlformats.org/officeDocument/2006/relationships/hyperlink" Target="https://www.mouser.se/ProductDetail/511-STPS1L30A" TargetMode="External"/><Relationship Id="rId7" Type="http://schemas.openxmlformats.org/officeDocument/2006/relationships/hyperlink" Target="https://www.mouser.se/ProductDetail/750-1N4007-G" TargetMode="External"/><Relationship Id="rId12" Type="http://schemas.openxmlformats.org/officeDocument/2006/relationships/hyperlink" Target="https://www.mouser.se/ProductDetail/583-1S40-T" TargetMode="External"/><Relationship Id="rId17" Type="http://schemas.openxmlformats.org/officeDocument/2006/relationships/hyperlink" Target="https://www.mouser.se/ProductDetail/534-1075" TargetMode="External"/><Relationship Id="rId25" Type="http://schemas.openxmlformats.org/officeDocument/2006/relationships/hyperlink" Target="https://www.mouser.se/ProductDetail/200-TSW11605TS" TargetMode="External"/><Relationship Id="rId2" Type="http://schemas.openxmlformats.org/officeDocument/2006/relationships/hyperlink" Target="https://www.ebay.com/sch/i.html?_nkw=vl53l0x&amp;_sop=15" TargetMode="External"/><Relationship Id="rId16" Type="http://schemas.openxmlformats.org/officeDocument/2006/relationships/hyperlink" Target="https://www.mouser.se/ProductDetail/534-1087" TargetMode="External"/><Relationship Id="rId20" Type="http://schemas.openxmlformats.org/officeDocument/2006/relationships/hyperlink" Target="https://www.mouser.se/ProductDetail/710-885012106022" TargetMode="External"/><Relationship Id="rId29" Type="http://schemas.openxmlformats.org/officeDocument/2006/relationships/queryTable" Target="../queryTables/queryTable1.xml"/><Relationship Id="rId1" Type="http://schemas.openxmlformats.org/officeDocument/2006/relationships/hyperlink" Target="https://www.mouser.se/ProductDetail/512-S1B" TargetMode="External"/><Relationship Id="rId6" Type="http://schemas.openxmlformats.org/officeDocument/2006/relationships/hyperlink" Target="https://www.mouser.se/ProductDetail/482-90621ESFBAB000SP" TargetMode="External"/><Relationship Id="rId11" Type="http://schemas.openxmlformats.org/officeDocument/2006/relationships/hyperlink" Target="https://www.mouser.se/ProductDetail/863-MC7805BDTRKG" TargetMode="External"/><Relationship Id="rId24" Type="http://schemas.openxmlformats.org/officeDocument/2006/relationships/hyperlink" Target="https://www.mouser.se/ProductDetail/710-885012106022" TargetMode="External"/><Relationship Id="rId5" Type="http://schemas.openxmlformats.org/officeDocument/2006/relationships/hyperlink" Target="https://www.mouser.se/ProductDetail/806-SX1100-A" TargetMode="External"/><Relationship Id="rId15" Type="http://schemas.openxmlformats.org/officeDocument/2006/relationships/hyperlink" Target="https://www.mouser.se/ProductDetail/810-FG28X7R1E105KRT6" TargetMode="External"/><Relationship Id="rId23" Type="http://schemas.openxmlformats.org/officeDocument/2006/relationships/hyperlink" Target="https://www.mouser.se/ProductDetail/710-885012106022" TargetMode="External"/><Relationship Id="rId28" Type="http://schemas.openxmlformats.org/officeDocument/2006/relationships/printerSettings" Target="../printerSettings/printerSettings1.bin"/><Relationship Id="rId10" Type="http://schemas.openxmlformats.org/officeDocument/2006/relationships/hyperlink" Target="https://www.mouser.se/ProductDetail/608-1211-5" TargetMode="External"/><Relationship Id="rId19" Type="http://schemas.openxmlformats.org/officeDocument/2006/relationships/hyperlink" Target="https://www.ebay.com/sch/i.html?_nkw=3.7V+lipo+battery+JST-PH+2.0&amp;_sop=15" TargetMode="External"/><Relationship Id="rId4" Type="http://schemas.openxmlformats.org/officeDocument/2006/relationships/hyperlink" Target="https://www.mouser.se/ProductDetail/485-3406" TargetMode="External"/><Relationship Id="rId9" Type="http://schemas.openxmlformats.org/officeDocument/2006/relationships/hyperlink" Target="https://www.mouser.se/ProductDetail/611-PN12SHNA03QE" TargetMode="External"/><Relationship Id="rId14" Type="http://schemas.openxmlformats.org/officeDocument/2006/relationships/hyperlink" Target="https://www.mouser.se/ProductDetail/810-FG28X7R1E105KRT6" TargetMode="External"/><Relationship Id="rId22" Type="http://schemas.openxmlformats.org/officeDocument/2006/relationships/hyperlink" Target="https://www.mouser.se/ProductDetail/512-S1B" TargetMode="External"/><Relationship Id="rId27" Type="http://schemas.openxmlformats.org/officeDocument/2006/relationships/hyperlink" Target="https://www.mouser.se/ProductDetail/200-TSW10207GS"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mouser.se/ProductDetail/200-TSW11605TS" TargetMode="External"/><Relationship Id="rId13" Type="http://schemas.openxmlformats.org/officeDocument/2006/relationships/hyperlink" Target="https://ja.aliexpress.com/item/1005004176046297.html?spm=a2g0o.order_list.order_list_main.28.2f84585aAo1tKC&amp;gatewayAdapt=glo2jpn" TargetMode="External"/><Relationship Id="rId18" Type="http://schemas.openxmlformats.org/officeDocument/2006/relationships/hyperlink" Target="https://www.digikey.jp/ja/products/detail/adafruit-industries-llc/3406/7034992?s=N4IgTCBcDaIIIBMCGAzATgVwJYBcAEAQgDYYCm62%2BAdgEoBiArGHgMwAsADAGwgC6AvkA" TargetMode="External"/><Relationship Id="rId3" Type="http://schemas.openxmlformats.org/officeDocument/2006/relationships/hyperlink" Target="https://www.mouser.se/ProductDetail/806-SX1100-A" TargetMode="External"/><Relationship Id="rId7" Type="http://schemas.openxmlformats.org/officeDocument/2006/relationships/hyperlink" Target="https://www.mouser.se/ProductDetail/710-885012106022" TargetMode="External"/><Relationship Id="rId12" Type="http://schemas.openxmlformats.org/officeDocument/2006/relationships/hyperlink" Target="https://ja.aliexpress.com/item/1005008180135795.html?spm=a2g0o.order_list.order_list_main.16.2f84585aAo1tKC&amp;gatewayAdapt=glo2jpn" TargetMode="External"/><Relationship Id="rId17" Type="http://schemas.openxmlformats.org/officeDocument/2006/relationships/hyperlink" Target="https://www.digikey.jp/ja/products/detail/adafruit-industries-llc/5323/16376065?_gl=1*gunwoh*_up*MQ..*_gs*MQ..&amp;gclid=CjwKCAjwuePGBhBZEiwAIGCVSwsYnQE6LlCYl4kYyWmUhtdfKg6PYKqDMsFwTPONSrv-ZT9YwsNdCBoCihMQAvD_BwE&amp;gclsrc=aw.ds&amp;gbraid=0AAAAADrbLlgNJWyVMa1ywMmr6j4JYsnei" TargetMode="External"/><Relationship Id="rId2" Type="http://schemas.openxmlformats.org/officeDocument/2006/relationships/hyperlink" Target="https://www.mouser.se/ProductDetail/485-3406" TargetMode="External"/><Relationship Id="rId16" Type="http://schemas.openxmlformats.org/officeDocument/2006/relationships/hyperlink" Target="https://ja.aliexpress.com/item/32814862683.html?spm=a2g0o.order_list.order_list_main.4.5854585aYz0aIG&amp;gatewayAdapt=glo2jpn" TargetMode="External"/><Relationship Id="rId20" Type="http://schemas.openxmlformats.org/officeDocument/2006/relationships/queryTable" Target="../queryTables/queryTable2.xml"/><Relationship Id="rId1" Type="http://schemas.openxmlformats.org/officeDocument/2006/relationships/hyperlink" Target="https://www.mouser.se/ProductDetail/512-S1B" TargetMode="External"/><Relationship Id="rId6" Type="http://schemas.openxmlformats.org/officeDocument/2006/relationships/hyperlink" Target="https://www.mouser.se/ProductDetail/611-PN12SHNA03QE" TargetMode="External"/><Relationship Id="rId11" Type="http://schemas.openxmlformats.org/officeDocument/2006/relationships/hyperlink" Target="https://www.mouser.se/ProductDetail/200-TSW10407GD" TargetMode="External"/><Relationship Id="rId5" Type="http://schemas.openxmlformats.org/officeDocument/2006/relationships/hyperlink" Target="https://www.mouser.se/ProductDetail/810-FG28X7R1E105KRT6" TargetMode="External"/><Relationship Id="rId15" Type="http://schemas.openxmlformats.org/officeDocument/2006/relationships/hyperlink" Target="https://ja.aliexpress.com/item/1005006980614596.html?spm=a2g0o.order_list.order_list_main.33.7654585aeu9k2v&amp;gatewayAdapt=glo2jpn" TargetMode="External"/><Relationship Id="rId10" Type="http://schemas.openxmlformats.org/officeDocument/2006/relationships/hyperlink" Target="https://www.mouser.se/ProductDetail/200-TSW11205TS" TargetMode="External"/><Relationship Id="rId19" Type="http://schemas.openxmlformats.org/officeDocument/2006/relationships/printerSettings" Target="../printerSettings/printerSettings2.bin"/><Relationship Id="rId4" Type="http://schemas.openxmlformats.org/officeDocument/2006/relationships/hyperlink" Target="https://www.mouser.se/ProductDetail/750-1N4007-G" TargetMode="External"/><Relationship Id="rId9" Type="http://schemas.openxmlformats.org/officeDocument/2006/relationships/hyperlink" Target="https://www.mouser.se/ProductDetail/200-TSW10607TS" TargetMode="External"/><Relationship Id="rId14" Type="http://schemas.openxmlformats.org/officeDocument/2006/relationships/hyperlink" Target="https://ja.aliexpress.com/item/1005006421563695.html?spm=a2g0o.order_list.order_list_main.5.7654585aeu9k2v&amp;gatewayAdapt=glo2jp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6"/>
  <sheetViews>
    <sheetView workbookViewId="0">
      <selection activeCell="B28" sqref="B28"/>
    </sheetView>
  </sheetViews>
  <sheetFormatPr defaultColWidth="9.1796875" defaultRowHeight="16.5" x14ac:dyDescent="0.2"/>
  <cols>
    <col min="1" max="1" width="7.7265625" style="1" customWidth="1"/>
    <col min="2" max="2" width="45.81640625" style="2" customWidth="1"/>
    <col min="3" max="3" width="12.54296875" style="3" customWidth="1"/>
    <col min="4" max="4" width="75.26953125" style="2" customWidth="1"/>
    <col min="5" max="5" width="88" style="5" customWidth="1"/>
    <col min="6" max="6" width="56.453125" style="2" bestFit="1" customWidth="1"/>
    <col min="7" max="7" width="26.1796875" style="2" customWidth="1"/>
    <col min="8" max="16384" width="9.1796875" style="2"/>
  </cols>
  <sheetData>
    <row r="1" spans="1:6" x14ac:dyDescent="0.2">
      <c r="C1" s="3" t="s">
        <v>44</v>
      </c>
      <c r="E1" s="2"/>
      <c r="F1" s="2" t="s">
        <v>65</v>
      </c>
    </row>
    <row r="2" spans="1:6" x14ac:dyDescent="0.2">
      <c r="A2" s="1" t="s">
        <v>46</v>
      </c>
      <c r="E2" s="2"/>
    </row>
    <row r="3" spans="1:6" x14ac:dyDescent="0.2">
      <c r="B3" s="2" t="s">
        <v>47</v>
      </c>
      <c r="D3" s="6" t="s">
        <v>31</v>
      </c>
      <c r="E3" s="2"/>
    </row>
    <row r="4" spans="1:6" x14ac:dyDescent="0.2">
      <c r="B4" s="2" t="s">
        <v>8</v>
      </c>
      <c r="C4" s="3" t="s">
        <v>7</v>
      </c>
      <c r="D4" s="6" t="s">
        <v>68</v>
      </c>
      <c r="E4" s="2"/>
    </row>
    <row r="5" spans="1:6" x14ac:dyDescent="0.2">
      <c r="B5" s="2" t="s">
        <v>10</v>
      </c>
      <c r="C5" s="3" t="s">
        <v>9</v>
      </c>
      <c r="D5" s="6" t="s">
        <v>67</v>
      </c>
      <c r="E5" s="2"/>
    </row>
    <row r="6" spans="1:6" x14ac:dyDescent="0.2">
      <c r="B6" s="2" t="s">
        <v>21</v>
      </c>
      <c r="C6" s="3" t="s">
        <v>20</v>
      </c>
      <c r="D6" s="6" t="s">
        <v>71</v>
      </c>
      <c r="E6" s="2" t="s">
        <v>73</v>
      </c>
    </row>
    <row r="7" spans="1:6" x14ac:dyDescent="0.2">
      <c r="B7" s="2" t="s">
        <v>12</v>
      </c>
      <c r="C7" s="3" t="s">
        <v>11</v>
      </c>
      <c r="D7" s="6" t="s">
        <v>69</v>
      </c>
      <c r="E7" s="2"/>
    </row>
    <row r="8" spans="1:6" x14ac:dyDescent="0.2">
      <c r="B8" s="2" t="s">
        <v>42</v>
      </c>
      <c r="D8" s="6" t="s">
        <v>40</v>
      </c>
      <c r="E8" s="2" t="s">
        <v>43</v>
      </c>
    </row>
    <row r="9" spans="1:6" x14ac:dyDescent="0.2">
      <c r="B9" s="2" t="s">
        <v>53</v>
      </c>
      <c r="C9" s="3" t="s">
        <v>23</v>
      </c>
      <c r="D9" s="6" t="s">
        <v>52</v>
      </c>
      <c r="F9" s="4" t="s">
        <v>37</v>
      </c>
    </row>
    <row r="10" spans="1:6" x14ac:dyDescent="0.2">
      <c r="B10" s="2" t="s">
        <v>56</v>
      </c>
      <c r="C10" s="3" t="s">
        <v>22</v>
      </c>
      <c r="D10" s="6" t="s">
        <v>57</v>
      </c>
      <c r="F10" s="4" t="s">
        <v>38</v>
      </c>
    </row>
    <row r="11" spans="1:6" ht="91" x14ac:dyDescent="0.2">
      <c r="B11" s="2" t="s">
        <v>132</v>
      </c>
      <c r="C11" s="3" t="s">
        <v>24</v>
      </c>
      <c r="D11" s="6" t="s">
        <v>34</v>
      </c>
      <c r="E11" s="5" t="s">
        <v>83</v>
      </c>
    </row>
    <row r="12" spans="1:6" x14ac:dyDescent="0.2">
      <c r="D12" s="6"/>
      <c r="E12" s="4"/>
    </row>
    <row r="14" spans="1:6" ht="26" x14ac:dyDescent="0.2">
      <c r="A14" s="1" t="s">
        <v>0</v>
      </c>
      <c r="E14" s="5" t="s">
        <v>74</v>
      </c>
    </row>
    <row r="15" spans="1:6" x14ac:dyDescent="0.2">
      <c r="B15" s="2" t="s">
        <v>30</v>
      </c>
      <c r="C15" s="3" t="s">
        <v>13</v>
      </c>
      <c r="D15" s="6" t="s">
        <v>35</v>
      </c>
    </row>
    <row r="16" spans="1:6" x14ac:dyDescent="0.2">
      <c r="B16" s="2" t="s">
        <v>1</v>
      </c>
      <c r="D16" s="6" t="s">
        <v>84</v>
      </c>
    </row>
    <row r="17" spans="1:6" x14ac:dyDescent="0.2">
      <c r="B17" s="2" t="s">
        <v>2</v>
      </c>
      <c r="D17" s="6" t="s">
        <v>66</v>
      </c>
    </row>
    <row r="19" spans="1:6" x14ac:dyDescent="0.2">
      <c r="A19" s="1" t="s">
        <v>3</v>
      </c>
    </row>
    <row r="20" spans="1:6" x14ac:dyDescent="0.2">
      <c r="B20" s="2" t="s">
        <v>15</v>
      </c>
      <c r="C20" s="3" t="s">
        <v>14</v>
      </c>
      <c r="D20" s="6" t="s">
        <v>39</v>
      </c>
      <c r="E20" s="2" t="s">
        <v>45</v>
      </c>
    </row>
    <row r="21" spans="1:6" x14ac:dyDescent="0.2">
      <c r="B21" s="2" t="s">
        <v>54</v>
      </c>
      <c r="C21" s="3" t="s">
        <v>16</v>
      </c>
      <c r="D21" s="6" t="s">
        <v>55</v>
      </c>
      <c r="E21" s="2"/>
      <c r="F21" s="4" t="s">
        <v>36</v>
      </c>
    </row>
    <row r="22" spans="1:6" x14ac:dyDescent="0.2">
      <c r="B22" s="2" t="s">
        <v>53</v>
      </c>
      <c r="C22" s="3" t="s">
        <v>17</v>
      </c>
      <c r="D22" s="6" t="s">
        <v>52</v>
      </c>
      <c r="F22" s="4" t="s">
        <v>37</v>
      </c>
    </row>
    <row r="23" spans="1:6" x14ac:dyDescent="0.2">
      <c r="B23" s="2" t="s">
        <v>56</v>
      </c>
      <c r="C23" s="3" t="s">
        <v>18</v>
      </c>
      <c r="D23" s="6" t="s">
        <v>57</v>
      </c>
      <c r="F23" s="4" t="s">
        <v>38</v>
      </c>
    </row>
    <row r="24" spans="1:6" x14ac:dyDescent="0.2">
      <c r="B24" s="2" t="s">
        <v>56</v>
      </c>
      <c r="C24" s="3" t="s">
        <v>19</v>
      </c>
      <c r="D24" s="6" t="s">
        <v>57</v>
      </c>
      <c r="F24" s="4" t="s">
        <v>38</v>
      </c>
    </row>
    <row r="27" spans="1:6" x14ac:dyDescent="0.2">
      <c r="A27" s="1" t="s">
        <v>4</v>
      </c>
    </row>
    <row r="28" spans="1:6" ht="117" x14ac:dyDescent="0.2">
      <c r="B28" s="2" t="s">
        <v>60</v>
      </c>
      <c r="C28" s="3" t="s">
        <v>25</v>
      </c>
      <c r="D28" s="5" t="s">
        <v>59</v>
      </c>
      <c r="E28" s="5" t="s">
        <v>87</v>
      </c>
    </row>
    <row r="29" spans="1:6" x14ac:dyDescent="0.2">
      <c r="E29" s="2"/>
    </row>
    <row r="30" spans="1:6" x14ac:dyDescent="0.2">
      <c r="E30" s="2"/>
    </row>
    <row r="31" spans="1:6" x14ac:dyDescent="0.2">
      <c r="A31" s="1" t="s">
        <v>58</v>
      </c>
      <c r="E31" s="2"/>
    </row>
    <row r="32" spans="1:6" ht="26" x14ac:dyDescent="0.2">
      <c r="A32" s="2"/>
      <c r="B32" s="2" t="s">
        <v>64</v>
      </c>
      <c r="D32" s="6" t="s">
        <v>61</v>
      </c>
      <c r="E32" s="5" t="s">
        <v>76</v>
      </c>
    </row>
    <row r="34" spans="1:5" ht="13" x14ac:dyDescent="0.2">
      <c r="A34" s="2"/>
      <c r="B34" s="2" t="s">
        <v>27</v>
      </c>
      <c r="C34" s="3" t="s">
        <v>26</v>
      </c>
      <c r="D34" s="6" t="s">
        <v>72</v>
      </c>
      <c r="E34" s="2" t="s">
        <v>77</v>
      </c>
    </row>
    <row r="35" spans="1:5" ht="13" x14ac:dyDescent="0.2">
      <c r="A35" s="2"/>
      <c r="B35" s="2" t="s">
        <v>29</v>
      </c>
      <c r="C35" s="3" t="s">
        <v>28</v>
      </c>
      <c r="D35" s="6" t="s">
        <v>70</v>
      </c>
      <c r="E35" s="2" t="s">
        <v>78</v>
      </c>
    </row>
    <row r="36" spans="1:5" ht="13" x14ac:dyDescent="0.2">
      <c r="A36" s="2"/>
      <c r="D36" s="6"/>
      <c r="E36" s="2"/>
    </row>
    <row r="37" spans="1:5" ht="13" x14ac:dyDescent="0.2">
      <c r="A37" s="2"/>
      <c r="B37" s="7" t="s">
        <v>75</v>
      </c>
      <c r="D37" s="6"/>
      <c r="E37" s="2"/>
    </row>
    <row r="38" spans="1:5" ht="13" x14ac:dyDescent="0.2">
      <c r="A38" s="2"/>
      <c r="B38" s="2" t="s">
        <v>5</v>
      </c>
      <c r="C38" s="3" t="s">
        <v>41</v>
      </c>
      <c r="D38" s="6" t="s">
        <v>33</v>
      </c>
      <c r="E38" s="2" t="s">
        <v>48</v>
      </c>
    </row>
    <row r="39" spans="1:5" ht="13" x14ac:dyDescent="0.2">
      <c r="A39" s="2"/>
      <c r="B39" s="2" t="s">
        <v>6</v>
      </c>
      <c r="C39" s="3" t="s">
        <v>41</v>
      </c>
      <c r="D39" s="6" t="s">
        <v>32</v>
      </c>
      <c r="E39" s="2" t="s">
        <v>49</v>
      </c>
    </row>
    <row r="40" spans="1:5" ht="13" x14ac:dyDescent="0.2">
      <c r="A40" s="2"/>
      <c r="B40" s="2" t="s">
        <v>50</v>
      </c>
      <c r="D40" s="6" t="s">
        <v>62</v>
      </c>
      <c r="E40" s="2"/>
    </row>
    <row r="41" spans="1:5" ht="13" x14ac:dyDescent="0.2">
      <c r="A41" s="2"/>
      <c r="B41" s="2" t="s">
        <v>51</v>
      </c>
      <c r="D41" s="6" t="s">
        <v>63</v>
      </c>
      <c r="E41" s="2"/>
    </row>
    <row r="51" spans="1:2" x14ac:dyDescent="0.2">
      <c r="A51" s="1" t="s">
        <v>79</v>
      </c>
    </row>
    <row r="52" spans="1:2" ht="13" x14ac:dyDescent="0.2">
      <c r="A52" s="2"/>
    </row>
    <row r="53" spans="1:2" ht="13" x14ac:dyDescent="0.2">
      <c r="A53" s="2" t="s">
        <v>80</v>
      </c>
      <c r="B53" s="2" t="s">
        <v>90</v>
      </c>
    </row>
    <row r="54" spans="1:2" ht="13" x14ac:dyDescent="0.2">
      <c r="A54" s="2" t="s">
        <v>81</v>
      </c>
      <c r="B54" s="2" t="s">
        <v>82</v>
      </c>
    </row>
    <row r="55" spans="1:2" ht="13" x14ac:dyDescent="0.2">
      <c r="A55" s="2" t="s">
        <v>88</v>
      </c>
      <c r="B55" s="2" t="s">
        <v>89</v>
      </c>
    </row>
    <row r="56" spans="1:2" ht="13" x14ac:dyDescent="0.2">
      <c r="A56" s="2" t="s">
        <v>85</v>
      </c>
      <c r="B56" s="2" t="s">
        <v>86</v>
      </c>
    </row>
    <row r="57" spans="1:2" ht="13" x14ac:dyDescent="0.2">
      <c r="A57" s="2"/>
    </row>
    <row r="58" spans="1:2" ht="13" x14ac:dyDescent="0.2">
      <c r="A58" s="2"/>
    </row>
    <row r="59" spans="1:2" ht="13" x14ac:dyDescent="0.2">
      <c r="A59" s="2"/>
    </row>
    <row r="60" spans="1:2" ht="13" x14ac:dyDescent="0.2">
      <c r="A60" s="2"/>
    </row>
    <row r="61" spans="1:2" ht="13" x14ac:dyDescent="0.2">
      <c r="A61" s="2"/>
    </row>
    <row r="62" spans="1:2" ht="13" x14ac:dyDescent="0.2">
      <c r="A62" s="2"/>
    </row>
    <row r="63" spans="1:2" ht="13" x14ac:dyDescent="0.2">
      <c r="A63" s="2"/>
    </row>
    <row r="64" spans="1:2" ht="13" x14ac:dyDescent="0.2">
      <c r="A64" s="2"/>
    </row>
    <row r="65" spans="1:1" ht="13" x14ac:dyDescent="0.2">
      <c r="A65" s="2"/>
    </row>
    <row r="66" spans="1:1" ht="13" x14ac:dyDescent="0.2">
      <c r="A66" s="2"/>
    </row>
  </sheetData>
  <phoneticPr fontId="21"/>
  <hyperlinks>
    <hyperlink ref="F9" r:id="rId1" xr:uid="{00000000-0004-0000-0000-000000000000}"/>
    <hyperlink ref="D28" r:id="rId2" display="https://www.ebay.com/sch/i.html?_nkw=vl53l0x&amp;_sop=15" xr:uid="{00000000-0004-0000-0000-000001000000}"/>
    <hyperlink ref="D41" r:id="rId3" xr:uid="{00000000-0004-0000-0000-000002000000}"/>
    <hyperlink ref="D3" r:id="rId4" xr:uid="{00000000-0004-0000-0000-000003000000}"/>
    <hyperlink ref="D8" r:id="rId5" xr:uid="{00000000-0004-0000-0000-000004000000}"/>
    <hyperlink ref="D11" r:id="rId6" xr:uid="{00000000-0004-0000-0000-000005000000}"/>
    <hyperlink ref="D9" r:id="rId7" xr:uid="{00000000-0004-0000-0000-000006000000}"/>
    <hyperlink ref="D10" r:id="rId8" xr:uid="{00000000-0004-0000-0000-000007000000}"/>
    <hyperlink ref="D15" r:id="rId9" xr:uid="{00000000-0004-0000-0000-000008000000}"/>
    <hyperlink ref="D16" r:id="rId10" xr:uid="{00000000-0004-0000-0000-000009000000}"/>
    <hyperlink ref="D20" r:id="rId11" xr:uid="{00000000-0004-0000-0000-00000A000000}"/>
    <hyperlink ref="D21" r:id="rId12" xr:uid="{00000000-0004-0000-0000-00000B000000}"/>
    <hyperlink ref="D22" r:id="rId13" xr:uid="{00000000-0004-0000-0000-00000C000000}"/>
    <hyperlink ref="D23" r:id="rId14" xr:uid="{00000000-0004-0000-0000-00000D000000}"/>
    <hyperlink ref="D24" r:id="rId15" xr:uid="{00000000-0004-0000-0000-00000E000000}"/>
    <hyperlink ref="D38" r:id="rId16" xr:uid="{00000000-0004-0000-0000-00000F000000}"/>
    <hyperlink ref="D39" r:id="rId17" xr:uid="{00000000-0004-0000-0000-000010000000}"/>
    <hyperlink ref="D40" r:id="rId18" xr:uid="{00000000-0004-0000-0000-000011000000}"/>
    <hyperlink ref="D32" r:id="rId19" xr:uid="{00000000-0004-0000-0000-000012000000}"/>
    <hyperlink ref="F10" r:id="rId20" xr:uid="{00000000-0004-0000-0000-000013000000}"/>
    <hyperlink ref="F21" r:id="rId21" xr:uid="{00000000-0004-0000-0000-000014000000}"/>
    <hyperlink ref="F22" r:id="rId22" xr:uid="{00000000-0004-0000-0000-000015000000}"/>
    <hyperlink ref="F23" r:id="rId23" xr:uid="{00000000-0004-0000-0000-000016000000}"/>
    <hyperlink ref="F24" r:id="rId24" xr:uid="{00000000-0004-0000-0000-000017000000}"/>
    <hyperlink ref="D5" r:id="rId25" xr:uid="{00000000-0004-0000-0000-000018000000}"/>
    <hyperlink ref="D6" r:id="rId26" xr:uid="{00000000-0004-0000-0000-000019000000}"/>
    <hyperlink ref="D34" r:id="rId27" xr:uid="{00000000-0004-0000-0000-00001A000000}"/>
  </hyperlinks>
  <pageMargins left="0.7" right="0.7" top="0.75" bottom="0.75" header="0.3" footer="0.3"/>
  <pageSetup paperSize="9" orientation="portrait" horizontalDpi="4294967293" verticalDpi="0" r:id="rId2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0045E-B09B-45B1-A1DE-6DD874594E49}">
  <dimension ref="C1:O50"/>
  <sheetViews>
    <sheetView tabSelected="1" zoomScale="70" zoomScaleNormal="70" workbookViewId="0">
      <selection activeCell="D31" sqref="D31"/>
    </sheetView>
  </sheetViews>
  <sheetFormatPr defaultColWidth="9.90625" defaultRowHeight="19" x14ac:dyDescent="0.2"/>
  <cols>
    <col min="1" max="2" width="9.90625" style="2"/>
    <col min="3" max="3" width="8.453125" style="1" customWidth="1"/>
    <col min="4" max="4" width="50" style="2" customWidth="1"/>
    <col min="5" max="5" width="13.7265625" style="3" customWidth="1"/>
    <col min="6" max="6" width="82.08984375" style="2" customWidth="1"/>
    <col min="7" max="7" width="13.36328125" style="2" customWidth="1"/>
    <col min="8" max="10" width="13.08984375" style="2" customWidth="1"/>
    <col min="11" max="11" width="23.1796875" style="12" customWidth="1"/>
    <col min="12" max="13" width="23.1796875" style="13" customWidth="1"/>
    <col min="14" max="14" width="96" style="5" customWidth="1"/>
    <col min="15" max="15" width="61.453125" style="2" bestFit="1" customWidth="1"/>
    <col min="16" max="16" width="28.453125" style="2" customWidth="1"/>
    <col min="17" max="16384" width="9.90625" style="2"/>
  </cols>
  <sheetData>
    <row r="1" spans="3:15" ht="23.5" x14ac:dyDescent="0.2">
      <c r="E1" s="3" t="s">
        <v>44</v>
      </c>
      <c r="K1" s="8" t="s">
        <v>91</v>
      </c>
      <c r="L1" s="9" t="s">
        <v>92</v>
      </c>
      <c r="M1" s="9"/>
      <c r="N1" s="2"/>
      <c r="O1" s="2" t="s">
        <v>65</v>
      </c>
    </row>
    <row r="2" spans="3:15" ht="23.5" x14ac:dyDescent="0.2">
      <c r="K2" s="10">
        <f>SUM(K4:K29)</f>
        <v>8385.9500000000007</v>
      </c>
      <c r="L2" s="11">
        <f>K2*4</f>
        <v>33543.800000000003</v>
      </c>
      <c r="M2" s="11"/>
      <c r="N2" s="2"/>
    </row>
    <row r="3" spans="3:15" x14ac:dyDescent="0.2">
      <c r="N3" s="2"/>
    </row>
    <row r="4" spans="3:15" x14ac:dyDescent="0.2">
      <c r="C4" s="1" t="s">
        <v>46</v>
      </c>
      <c r="H4" s="2" t="s">
        <v>93</v>
      </c>
      <c r="I4" s="2" t="s">
        <v>94</v>
      </c>
      <c r="J4" s="2" t="s">
        <v>95</v>
      </c>
      <c r="K4" s="12" t="s">
        <v>96</v>
      </c>
      <c r="M4" s="13" t="s">
        <v>97</v>
      </c>
      <c r="N4" s="2"/>
    </row>
    <row r="5" spans="3:15" x14ac:dyDescent="0.2">
      <c r="D5" s="14" t="s">
        <v>98</v>
      </c>
      <c r="F5" s="6" t="s">
        <v>31</v>
      </c>
      <c r="G5" s="15" t="s">
        <v>99</v>
      </c>
      <c r="H5" s="15"/>
      <c r="I5" s="15">
        <f>3942*1.1</f>
        <v>4336.2000000000007</v>
      </c>
      <c r="J5" s="15"/>
      <c r="K5" s="16"/>
      <c r="L5" s="17"/>
      <c r="M5" s="17"/>
      <c r="N5" s="2" t="s">
        <v>100</v>
      </c>
    </row>
    <row r="6" spans="3:15" x14ac:dyDescent="0.2">
      <c r="D6" s="14" t="s">
        <v>101</v>
      </c>
      <c r="F6" s="6" t="s">
        <v>102</v>
      </c>
      <c r="G6" s="15" t="s">
        <v>103</v>
      </c>
      <c r="H6" s="15">
        <v>1</v>
      </c>
      <c r="I6" s="15">
        <f>3939*1.1</f>
        <v>4332.9000000000005</v>
      </c>
      <c r="J6" s="15"/>
      <c r="K6" s="16"/>
      <c r="L6" s="17"/>
      <c r="M6" s="17"/>
      <c r="N6" s="2"/>
    </row>
    <row r="7" spans="3:15" x14ac:dyDescent="0.2">
      <c r="D7" s="14" t="s">
        <v>104</v>
      </c>
      <c r="F7" s="6" t="s">
        <v>105</v>
      </c>
      <c r="G7" s="15" t="s">
        <v>103</v>
      </c>
      <c r="H7" s="15">
        <v>1</v>
      </c>
      <c r="I7" s="15">
        <f>2697*1.1</f>
        <v>2966.7000000000003</v>
      </c>
      <c r="J7" s="15"/>
      <c r="K7" s="16">
        <f>H7*I7+J7</f>
        <v>2966.7000000000003</v>
      </c>
      <c r="L7" s="17"/>
      <c r="M7" s="17" t="s">
        <v>106</v>
      </c>
      <c r="N7" s="2" t="s">
        <v>107</v>
      </c>
    </row>
    <row r="8" spans="3:15" x14ac:dyDescent="0.2">
      <c r="D8" s="18" t="s">
        <v>108</v>
      </c>
      <c r="E8" s="19" t="s">
        <v>7</v>
      </c>
      <c r="F8" s="20" t="s">
        <v>109</v>
      </c>
      <c r="G8" s="20"/>
      <c r="H8" s="24" t="s">
        <v>133</v>
      </c>
      <c r="I8" s="20"/>
      <c r="J8" s="20"/>
      <c r="K8" s="21"/>
      <c r="L8" s="22"/>
      <c r="M8" s="22"/>
      <c r="N8" s="18" t="s">
        <v>110</v>
      </c>
      <c r="O8" s="18"/>
    </row>
    <row r="9" spans="3:15" x14ac:dyDescent="0.2">
      <c r="D9" s="18" t="s">
        <v>10</v>
      </c>
      <c r="E9" s="19" t="s">
        <v>9</v>
      </c>
      <c r="F9" s="20" t="s">
        <v>67</v>
      </c>
      <c r="G9" s="20"/>
      <c r="H9" s="24" t="s">
        <v>133</v>
      </c>
      <c r="I9" s="20"/>
      <c r="J9" s="20"/>
      <c r="K9" s="21"/>
      <c r="L9" s="22"/>
      <c r="M9" s="22"/>
      <c r="N9" s="18" t="s">
        <v>110</v>
      </c>
      <c r="O9" s="18"/>
    </row>
    <row r="10" spans="3:15" x14ac:dyDescent="0.2">
      <c r="D10" s="14" t="s">
        <v>21</v>
      </c>
      <c r="E10" s="3" t="s">
        <v>20</v>
      </c>
      <c r="F10" s="6" t="s">
        <v>71</v>
      </c>
      <c r="G10" s="15" t="s">
        <v>99</v>
      </c>
      <c r="H10" s="15">
        <v>1</v>
      </c>
      <c r="I10" s="15">
        <v>49</v>
      </c>
      <c r="J10" s="15"/>
      <c r="K10" s="16">
        <f>H10*I10+J10</f>
        <v>49</v>
      </c>
      <c r="L10" s="17"/>
      <c r="M10" s="17"/>
      <c r="N10" s="2" t="s">
        <v>73</v>
      </c>
    </row>
    <row r="11" spans="3:15" x14ac:dyDescent="0.2">
      <c r="D11" s="14" t="s">
        <v>12</v>
      </c>
      <c r="E11" s="3" t="s">
        <v>11</v>
      </c>
      <c r="F11" s="6" t="s">
        <v>111</v>
      </c>
      <c r="G11" s="15" t="s">
        <v>99</v>
      </c>
      <c r="H11" s="15">
        <v>1</v>
      </c>
      <c r="I11" s="15">
        <v>96</v>
      </c>
      <c r="J11" s="15"/>
      <c r="K11" s="16">
        <f>H11*I11+J11</f>
        <v>96</v>
      </c>
      <c r="L11" s="17"/>
      <c r="M11" s="17"/>
      <c r="N11" s="2"/>
    </row>
    <row r="12" spans="3:15" x14ac:dyDescent="0.2">
      <c r="D12" s="14" t="s">
        <v>112</v>
      </c>
      <c r="F12" s="6" t="s">
        <v>40</v>
      </c>
      <c r="G12" s="15" t="s">
        <v>99</v>
      </c>
      <c r="H12" s="15">
        <v>4</v>
      </c>
      <c r="I12" s="15">
        <f>10/4</f>
        <v>2.5</v>
      </c>
      <c r="J12" s="15"/>
      <c r="K12" s="16">
        <f>H12*I12+J12</f>
        <v>10</v>
      </c>
      <c r="L12" s="17"/>
      <c r="M12" s="17"/>
      <c r="N12" s="2" t="s">
        <v>113</v>
      </c>
    </row>
    <row r="13" spans="3:15" x14ac:dyDescent="0.45">
      <c r="D13" s="18" t="s">
        <v>53</v>
      </c>
      <c r="E13" s="19" t="s">
        <v>23</v>
      </c>
      <c r="F13" s="20" t="s">
        <v>52</v>
      </c>
      <c r="G13" s="20"/>
      <c r="H13" s="24" t="s">
        <v>133</v>
      </c>
      <c r="I13" s="20"/>
      <c r="J13" s="20"/>
      <c r="K13" s="21"/>
      <c r="L13" s="22"/>
      <c r="M13" s="22"/>
      <c r="N13" s="23" t="s">
        <v>114</v>
      </c>
      <c r="O13" s="20" t="s">
        <v>37</v>
      </c>
    </row>
    <row r="14" spans="3:15" x14ac:dyDescent="0.2">
      <c r="D14" s="14" t="s">
        <v>56</v>
      </c>
      <c r="E14" s="3" t="s">
        <v>22</v>
      </c>
      <c r="F14" s="6" t="s">
        <v>57</v>
      </c>
      <c r="G14" s="15" t="s">
        <v>99</v>
      </c>
      <c r="H14" s="15">
        <v>1</v>
      </c>
      <c r="I14" s="15">
        <v>47</v>
      </c>
      <c r="J14" s="15"/>
      <c r="K14" s="16">
        <f>H14*I14+J14</f>
        <v>47</v>
      </c>
      <c r="L14" s="17"/>
      <c r="M14" s="17"/>
      <c r="O14" s="4" t="s">
        <v>38</v>
      </c>
    </row>
    <row r="15" spans="3:15" x14ac:dyDescent="0.2">
      <c r="D15" s="27" t="s">
        <v>115</v>
      </c>
      <c r="E15" s="3" t="s">
        <v>116</v>
      </c>
      <c r="F15" s="6" t="s">
        <v>117</v>
      </c>
      <c r="G15" s="2" t="s">
        <v>118</v>
      </c>
      <c r="H15" s="15">
        <v>1</v>
      </c>
      <c r="I15" s="15">
        <v>3164</v>
      </c>
      <c r="J15" s="15">
        <f>672/4</f>
        <v>168</v>
      </c>
      <c r="K15" s="16">
        <f>H15*I15+J15</f>
        <v>3332</v>
      </c>
      <c r="L15" s="17"/>
      <c r="M15" s="17" t="s">
        <v>119</v>
      </c>
      <c r="N15" s="15" t="s">
        <v>120</v>
      </c>
      <c r="O15" s="2" t="s">
        <v>121</v>
      </c>
    </row>
    <row r="16" spans="3:15" x14ac:dyDescent="0.2">
      <c r="D16" s="18" t="s">
        <v>115</v>
      </c>
      <c r="E16" s="19" t="s">
        <v>116</v>
      </c>
      <c r="F16" s="20" t="s">
        <v>121</v>
      </c>
      <c r="G16" s="18" t="s">
        <v>118</v>
      </c>
      <c r="H16" s="24">
        <v>0</v>
      </c>
      <c r="I16" s="24">
        <v>3108</v>
      </c>
      <c r="J16" s="24"/>
      <c r="K16" s="25"/>
      <c r="L16" s="26"/>
      <c r="M16" s="26"/>
      <c r="N16" s="24" t="s">
        <v>122</v>
      </c>
      <c r="O16" s="18"/>
    </row>
    <row r="18" spans="3:14" ht="26" x14ac:dyDescent="0.2">
      <c r="C18" s="1" t="s">
        <v>0</v>
      </c>
      <c r="N18" s="5" t="s">
        <v>74</v>
      </c>
    </row>
    <row r="19" spans="3:14" x14ac:dyDescent="0.2">
      <c r="D19" s="14" t="s">
        <v>30</v>
      </c>
      <c r="E19" s="3" t="s">
        <v>13</v>
      </c>
      <c r="F19" s="6" t="s">
        <v>35</v>
      </c>
      <c r="G19" s="15" t="s">
        <v>99</v>
      </c>
      <c r="H19" s="15">
        <v>1</v>
      </c>
      <c r="I19" s="15">
        <v>262</v>
      </c>
      <c r="J19" s="15"/>
      <c r="K19" s="16">
        <f>H19*I19+J19</f>
        <v>262</v>
      </c>
      <c r="L19" s="17"/>
      <c r="M19" s="17"/>
    </row>
    <row r="23" spans="3:14" x14ac:dyDescent="0.2">
      <c r="C23" s="1" t="s">
        <v>4</v>
      </c>
    </row>
    <row r="24" spans="3:14" x14ac:dyDescent="0.2">
      <c r="D24" s="27" t="s">
        <v>60</v>
      </c>
      <c r="E24" s="3" t="s">
        <v>25</v>
      </c>
      <c r="F24" s="4" t="s">
        <v>123</v>
      </c>
      <c r="G24" s="2" t="s">
        <v>118</v>
      </c>
      <c r="H24" s="5">
        <v>1</v>
      </c>
      <c r="I24" s="5">
        <v>204</v>
      </c>
      <c r="J24" s="5">
        <f>522/4</f>
        <v>130.5</v>
      </c>
      <c r="K24" s="16">
        <f>H24*I24+J24</f>
        <v>334.5</v>
      </c>
      <c r="L24" s="17"/>
      <c r="M24" s="17"/>
      <c r="N24" s="2"/>
    </row>
    <row r="25" spans="3:14" x14ac:dyDescent="0.2">
      <c r="N25" s="2"/>
    </row>
    <row r="26" spans="3:14" x14ac:dyDescent="0.2">
      <c r="C26" s="1" t="s">
        <v>58</v>
      </c>
      <c r="N26" s="2"/>
    </row>
    <row r="27" spans="3:14" x14ac:dyDescent="0.2">
      <c r="D27" s="27" t="s">
        <v>124</v>
      </c>
      <c r="F27" s="20" t="s">
        <v>125</v>
      </c>
      <c r="G27" s="18" t="s">
        <v>118</v>
      </c>
      <c r="H27" s="24">
        <v>1</v>
      </c>
      <c r="I27" s="24">
        <v>674</v>
      </c>
      <c r="J27" s="24">
        <f>874/4</f>
        <v>218.5</v>
      </c>
      <c r="K27" s="16"/>
      <c r="L27" s="17"/>
      <c r="M27" s="17"/>
      <c r="N27" s="28" t="s">
        <v>126</v>
      </c>
    </row>
    <row r="28" spans="3:14" x14ac:dyDescent="0.2">
      <c r="F28" s="4" t="s">
        <v>127</v>
      </c>
      <c r="G28" s="2" t="s">
        <v>118</v>
      </c>
      <c r="H28" s="15">
        <v>1</v>
      </c>
      <c r="I28" s="2">
        <v>438</v>
      </c>
      <c r="J28" s="2">
        <f>1063/4</f>
        <v>265.75</v>
      </c>
      <c r="K28" s="16">
        <f>H28*I28+J28</f>
        <v>703.75</v>
      </c>
      <c r="L28" s="17"/>
      <c r="M28" s="17"/>
      <c r="N28" s="5" t="s">
        <v>128</v>
      </c>
    </row>
    <row r="29" spans="3:14" x14ac:dyDescent="0.2">
      <c r="D29" s="2" t="s">
        <v>129</v>
      </c>
      <c r="G29" s="2" t="s">
        <v>130</v>
      </c>
      <c r="H29" s="2">
        <v>2</v>
      </c>
      <c r="I29" s="2">
        <v>250</v>
      </c>
      <c r="J29" s="2">
        <f>850/10</f>
        <v>85</v>
      </c>
      <c r="K29" s="16">
        <f>H29*I29+J29</f>
        <v>585</v>
      </c>
      <c r="L29" s="17"/>
      <c r="M29" s="17"/>
      <c r="N29" s="5" t="s">
        <v>131</v>
      </c>
    </row>
    <row r="35" spans="3:4" x14ac:dyDescent="0.2">
      <c r="C35" s="1" t="s">
        <v>79</v>
      </c>
    </row>
    <row r="36" spans="3:4" x14ac:dyDescent="0.2">
      <c r="C36" s="2"/>
    </row>
    <row r="37" spans="3:4" x14ac:dyDescent="0.2">
      <c r="C37" s="2" t="s">
        <v>80</v>
      </c>
      <c r="D37" s="2" t="s">
        <v>90</v>
      </c>
    </row>
    <row r="38" spans="3:4" x14ac:dyDescent="0.2">
      <c r="C38" s="2" t="s">
        <v>81</v>
      </c>
      <c r="D38" s="2" t="s">
        <v>82</v>
      </c>
    </row>
    <row r="39" spans="3:4" x14ac:dyDescent="0.2">
      <c r="C39" s="2" t="s">
        <v>88</v>
      </c>
      <c r="D39" s="2" t="s">
        <v>89</v>
      </c>
    </row>
    <row r="40" spans="3:4" x14ac:dyDescent="0.2">
      <c r="C40" s="2" t="s">
        <v>85</v>
      </c>
      <c r="D40" s="2" t="s">
        <v>86</v>
      </c>
    </row>
    <row r="41" spans="3:4" x14ac:dyDescent="0.2">
      <c r="C41" s="2"/>
    </row>
    <row r="42" spans="3:4" x14ac:dyDescent="0.2">
      <c r="C42" s="2"/>
    </row>
    <row r="43" spans="3:4" x14ac:dyDescent="0.2">
      <c r="C43" s="2"/>
    </row>
    <row r="44" spans="3:4" x14ac:dyDescent="0.2">
      <c r="C44" s="2"/>
    </row>
    <row r="45" spans="3:4" x14ac:dyDescent="0.2">
      <c r="C45" s="2"/>
    </row>
    <row r="46" spans="3:4" x14ac:dyDescent="0.2">
      <c r="C46" s="2"/>
    </row>
    <row r="47" spans="3:4" x14ac:dyDescent="0.2">
      <c r="C47" s="2"/>
    </row>
    <row r="48" spans="3:4" x14ac:dyDescent="0.2">
      <c r="C48" s="2"/>
    </row>
    <row r="49" spans="3:3" x14ac:dyDescent="0.2">
      <c r="C49" s="2"/>
    </row>
    <row r="50" spans="3:3" x14ac:dyDescent="0.2">
      <c r="C50" s="2"/>
    </row>
  </sheetData>
  <phoneticPr fontId="21"/>
  <hyperlinks>
    <hyperlink ref="O13" r:id="rId1" xr:uid="{46531E3D-13FD-49EA-B955-43A4854CA618}"/>
    <hyperlink ref="F5" r:id="rId2" xr:uid="{E0559816-FD68-4DE0-A628-974EB1B92CA9}"/>
    <hyperlink ref="F12" r:id="rId3" xr:uid="{DF103016-6594-473C-9756-658BD559E8BD}"/>
    <hyperlink ref="F13" r:id="rId4" xr:uid="{011A04EF-E0D0-44D2-B8A6-6814FF858054}"/>
    <hyperlink ref="F14" r:id="rId5" xr:uid="{5ACE081E-AD9B-4845-BC3D-FC4D466B5C41}"/>
    <hyperlink ref="F19" r:id="rId6" xr:uid="{A2BC91DA-2CA8-47DF-90E5-28D3BE36A7CA}"/>
    <hyperlink ref="O14" r:id="rId7" xr:uid="{1F3F4B1B-6829-48FA-A0E8-628D91DDF384}"/>
    <hyperlink ref="F9" r:id="rId8" xr:uid="{9B2D9D4B-3151-47DD-A861-AA81AE22D7C5}"/>
    <hyperlink ref="F10" r:id="rId9" xr:uid="{7C463031-AFAE-480B-B330-5E085ECE641B}"/>
    <hyperlink ref="F8" r:id="rId10" xr:uid="{783D1B21-E3D9-42EA-AD04-8CD4A4F9F8D3}"/>
    <hyperlink ref="F11" r:id="rId11" xr:uid="{9634165B-9C3A-4C7F-863F-CE2F70192617}"/>
    <hyperlink ref="F15" r:id="rId12" xr:uid="{44E5E0CD-D1A7-4A61-A8DF-482D15B849C5}"/>
    <hyperlink ref="F16" r:id="rId13" xr:uid="{31CEBC63-21C8-4C69-B00C-33DFA885AE5D}"/>
    <hyperlink ref="F27" r:id="rId14" xr:uid="{7D563AD7-0CBC-4031-9DAC-534D3FA1C114}"/>
    <hyperlink ref="F24" r:id="rId15" xr:uid="{27CE3F8B-C399-493C-BF75-BA07FFE9C5FA}"/>
    <hyperlink ref="F28" r:id="rId16" xr:uid="{8D65190F-F205-43D6-8A79-735D2B0E4EFA}"/>
    <hyperlink ref="F7" r:id="rId17" display="https://www.digikey.jp/ja/products/detail/adafruit-industries-llc/5323/16376065?_gl=1*gunwoh*_up*MQ..*_gs*MQ..&amp;gclid=CjwKCAjwuePGBhBZEiwAIGCVSwsYnQE6LlCYl4kYyWmUhtdfKg6PYKqDMsFwTPONSrv-ZT9YwsNdCBoCihMQAvD_BwE&amp;gclsrc=aw.ds&amp;gbraid=0AAAAADrbLlgNJWyVMa1ywMmr6j4JYsnei" xr:uid="{0F458D44-DB1C-409F-8A80-E7B67EF7D089}"/>
    <hyperlink ref="F6" r:id="rId18" xr:uid="{AD46503B-A0FD-4834-B488-C0A233F2063F}"/>
  </hyperlinks>
  <pageMargins left="0.7" right="0.7" top="0.75" bottom="0.75" header="0.3" footer="0.3"/>
  <pageSetup paperSize="9" orientation="portrait" horizontalDpi="4294967293" r:id="rId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MLX90621</vt:lpstr>
      <vt:lpstr>MLX90640</vt:lpstr>
      <vt:lpstr>'MLX90621'!components</vt:lpstr>
      <vt:lpstr>'MLX90640'!components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MagnusT</dc:creator>
  <cp:lastModifiedBy>mor ly</cp:lastModifiedBy>
  <dcterms:created xsi:type="dcterms:W3CDTF">2019-02-07T12:45:35Z</dcterms:created>
  <dcterms:modified xsi:type="dcterms:W3CDTF">2026-01-25T03:16:11Z</dcterms:modified>
</cp:coreProperties>
</file>